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anfung-my.sharepoint.com/personal/rayland_cheng_nanfung_com/Documents/Microsoft Teams Chat Files/"/>
    </mc:Choice>
  </mc:AlternateContent>
  <xr:revisionPtr revIDLastSave="0" documentId="8_{31AA260D-4F95-4752-A820-07BFBF0D81CF}" xr6:coauthVersionLast="47" xr6:coauthVersionMax="47" xr10:uidLastSave="{00000000-0000-0000-0000-000000000000}"/>
  <bookViews>
    <workbookView xWindow="-120" yWindow="-120" windowWidth="29040" windowHeight="15720" firstSheet="1" xr2:uid="{00000000-000D-0000-FFFF-FFFF00000000}"/>
  </bookViews>
  <sheets>
    <sheet name="Department" sheetId="2" r:id="rId1"/>
    <sheet name="Sheet1" sheetId="3" r:id="rId2"/>
  </sheets>
  <definedNames>
    <definedName name="_xlnm._FilterDatabase" localSheetId="1" hidden="1">Sheet1!$A$1:$B$62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 a="1"/>
  <c r="B3" i="3" s="1"/>
  <c r="B4" i="3" a="1"/>
  <c r="B4" i="3" s="1"/>
  <c r="B5" i="3" a="1"/>
  <c r="B5" i="3" s="1"/>
  <c r="B6" i="3" a="1"/>
  <c r="B6" i="3" s="1"/>
  <c r="B7" i="3" a="1"/>
  <c r="B7" i="3" s="1"/>
  <c r="B8" i="3" a="1"/>
  <c r="B8" i="3"/>
  <c r="B9" i="3" a="1"/>
  <c r="B9" i="3" s="1"/>
  <c r="B10" i="3" a="1"/>
  <c r="B10" i="3" s="1"/>
  <c r="B11" i="3" a="1"/>
  <c r="B11" i="3" s="1"/>
  <c r="B12" i="3" a="1"/>
  <c r="B12" i="3" s="1"/>
  <c r="B13" i="3" a="1"/>
  <c r="B13" i="3" s="1"/>
  <c r="B14" i="3" a="1"/>
  <c r="B14" i="3" s="1"/>
  <c r="B15" i="3" a="1"/>
  <c r="B15" i="3" s="1"/>
  <c r="B16" i="3" a="1"/>
  <c r="B16" i="3" s="1"/>
  <c r="B17" i="3" a="1"/>
  <c r="B17" i="3" s="1"/>
  <c r="B18" i="3" a="1"/>
  <c r="B18" i="3" s="1"/>
  <c r="B19" i="3" a="1"/>
  <c r="B19" i="3" s="1"/>
  <c r="B20" i="3" a="1"/>
  <c r="B20" i="3" s="1"/>
  <c r="B21" i="3" a="1"/>
  <c r="B21" i="3" s="1"/>
  <c r="B22" i="3" a="1"/>
  <c r="B22" i="3" s="1"/>
  <c r="B23" i="3" a="1"/>
  <c r="B23" i="3" s="1"/>
  <c r="B24" i="3" a="1"/>
  <c r="B24" i="3" s="1"/>
  <c r="B25" i="3" a="1"/>
  <c r="B25" i="3" s="1"/>
  <c r="B26" i="3" a="1"/>
  <c r="B26" i="3" s="1"/>
  <c r="B27" i="3" a="1"/>
  <c r="B27" i="3" s="1"/>
  <c r="B28" i="3" a="1"/>
  <c r="B28" i="3" s="1"/>
  <c r="B29" i="3" a="1"/>
  <c r="B29" i="3" s="1"/>
  <c r="B30" i="3" a="1"/>
  <c r="B30" i="3" s="1"/>
  <c r="B31" i="3" a="1"/>
  <c r="B31" i="3" s="1"/>
  <c r="B32" i="3" a="1"/>
  <c r="B32" i="3"/>
  <c r="B33" i="3" a="1"/>
  <c r="B33" i="3" s="1"/>
  <c r="B34" i="3" a="1"/>
  <c r="B34" i="3" s="1"/>
  <c r="B35" i="3" a="1"/>
  <c r="B35" i="3" s="1"/>
  <c r="B36" i="3" a="1"/>
  <c r="B36" i="3" s="1"/>
  <c r="B37" i="3" a="1"/>
  <c r="B37" i="3" s="1"/>
  <c r="B38" i="3" a="1"/>
  <c r="B38" i="3" s="1"/>
  <c r="B39" i="3" a="1"/>
  <c r="B39" i="3" s="1"/>
  <c r="B40" i="3" a="1"/>
  <c r="B40" i="3" s="1"/>
  <c r="B41" i="3" a="1"/>
  <c r="B41" i="3" s="1"/>
  <c r="B42" i="3" a="1"/>
  <c r="B42" i="3" s="1"/>
  <c r="B43" i="3" a="1"/>
  <c r="B43" i="3" s="1"/>
  <c r="B44" i="3" a="1"/>
  <c r="B44" i="3" s="1"/>
  <c r="B45" i="3" a="1"/>
  <c r="B45" i="3" s="1"/>
  <c r="B46" i="3" a="1"/>
  <c r="B46" i="3" s="1"/>
  <c r="B47" i="3" a="1"/>
  <c r="B47" i="3" s="1"/>
  <c r="B48" i="3" a="1"/>
  <c r="B48" i="3" s="1"/>
  <c r="B49" i="3" a="1"/>
  <c r="B49" i="3" s="1"/>
  <c r="B50" i="3" a="1"/>
  <c r="B50" i="3" s="1"/>
  <c r="B51" i="3" a="1"/>
  <c r="B51" i="3" s="1"/>
  <c r="B52" i="3" a="1"/>
  <c r="B52" i="3" s="1"/>
  <c r="B53" i="3" a="1"/>
  <c r="B53" i="3" s="1"/>
  <c r="B54" i="3" a="1"/>
  <c r="B54" i="3" s="1"/>
  <c r="B55" i="3" a="1"/>
  <c r="B55" i="3" s="1"/>
  <c r="B56" i="3" a="1"/>
  <c r="B56" i="3" s="1"/>
  <c r="B57" i="3" a="1"/>
  <c r="B57" i="3" s="1"/>
  <c r="B58" i="3" a="1"/>
  <c r="B58" i="3" s="1"/>
  <c r="B59" i="3" a="1"/>
  <c r="B59" i="3" s="1"/>
  <c r="B60" i="3" a="1"/>
  <c r="B60" i="3" s="1"/>
  <c r="B61" i="3" a="1"/>
  <c r="B61" i="3" s="1"/>
  <c r="B2" i="3" a="1"/>
  <c r="B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<sst xmlns="http://schemas.openxmlformats.org/spreadsheetml/2006/main" count="479" uniqueCount="212">
  <si>
    <t>處編號</t>
  </si>
  <si>
    <t>部門 編號</t>
  </si>
  <si>
    <t>部門名稱(中文)</t>
  </si>
  <si>
    <t>部門名稱(英文)</t>
  </si>
  <si>
    <t>活躍</t>
  </si>
  <si>
    <t>隱藏</t>
  </si>
  <si>
    <t>Division Code</t>
  </si>
  <si>
    <t>Department Code</t>
  </si>
  <si>
    <t>Department Name (Chi)</t>
  </si>
  <si>
    <t>Department Name (Eng)</t>
  </si>
  <si>
    <t>IsActive</t>
  </si>
  <si>
    <t>Invisible</t>
  </si>
  <si>
    <t>MDM Department</t>
  </si>
  <si>
    <t>10_PD</t>
  </si>
  <si>
    <t>地產處</t>
  </si>
  <si>
    <t>Property Division</t>
  </si>
  <si>
    <t>Yes</t>
  </si>
  <si>
    <t>No</t>
  </si>
  <si>
    <t>11_AIADIP</t>
  </si>
  <si>
    <t>人工智能與數據策略 - 地產</t>
  </si>
  <si>
    <t>AI and Data Intelligence - Properties</t>
  </si>
  <si>
    <t>42_AIADIP</t>
  </si>
  <si>
    <t>4_IP</t>
  </si>
  <si>
    <t>IP</t>
  </si>
  <si>
    <t>海外地產</t>
  </si>
  <si>
    <t>International Property</t>
  </si>
  <si>
    <t>CAO</t>
  </si>
  <si>
    <t>CS</t>
  </si>
  <si>
    <t>公司秘書部</t>
  </si>
  <si>
    <t>Company Secretarial Department</t>
  </si>
  <si>
    <t>IT</t>
  </si>
  <si>
    <t>資訊科技部</t>
  </si>
  <si>
    <t>Information Technology Department</t>
  </si>
  <si>
    <t>LG</t>
  </si>
  <si>
    <t>法律部</t>
  </si>
  <si>
    <t>Legal Department</t>
  </si>
  <si>
    <t>LC</t>
  </si>
  <si>
    <t>法務部 (中國, 海外與財務投資)</t>
  </si>
  <si>
    <t>Corporate Legal Counsel Dept (China, Overseas &amp; Investments)</t>
  </si>
  <si>
    <t>OA</t>
  </si>
  <si>
    <t>行政部</t>
  </si>
  <si>
    <t>Office Administration Department</t>
  </si>
  <si>
    <t>行政處</t>
  </si>
  <si>
    <t>Administration Division</t>
  </si>
  <si>
    <t>CD</t>
  </si>
  <si>
    <t>CV</t>
  </si>
  <si>
    <t>中國地產處</t>
  </si>
  <si>
    <t>China Property</t>
  </si>
  <si>
    <t>CV_SH</t>
  </si>
  <si>
    <t>China Property - Shanghai Office</t>
  </si>
  <si>
    <t>51_CD</t>
  </si>
  <si>
    <t>中國地產</t>
  </si>
  <si>
    <t>52_CD2</t>
  </si>
  <si>
    <t>中國地產 (投資)</t>
  </si>
  <si>
    <t>China Property (Investment)</t>
  </si>
  <si>
    <t>CE</t>
  </si>
  <si>
    <t>AD</t>
  </si>
  <si>
    <t>集團內部審計部</t>
  </si>
  <si>
    <t>Group Internal Audit Department</t>
  </si>
  <si>
    <t>集團行政總裁辦公室</t>
  </si>
  <si>
    <t>Group CEO's Office</t>
  </si>
  <si>
    <t>CT</t>
  </si>
  <si>
    <t>顧問</t>
  </si>
  <si>
    <t>Consultant</t>
  </si>
  <si>
    <t>HCO</t>
  </si>
  <si>
    <t>榮譽主席辦公室</t>
  </si>
  <si>
    <t>Honorary Chairman's Office</t>
  </si>
  <si>
    <t>HR</t>
  </si>
  <si>
    <t>人力資源部</t>
  </si>
  <si>
    <t>Human Resources Department</t>
  </si>
  <si>
    <t>VCO</t>
  </si>
  <si>
    <t>副董事長及執行董事辦公室</t>
  </si>
  <si>
    <t>Vice Chairman &amp; Executive Director's Office</t>
  </si>
  <si>
    <t>GIA</t>
  </si>
  <si>
    <t>GROUP INTERNAL AUDIT</t>
  </si>
  <si>
    <t>LS</t>
  </si>
  <si>
    <t>香港生命科技青年會</t>
  </si>
  <si>
    <t>Hong Kong Life Sciences Society</t>
  </si>
  <si>
    <t>1_CE</t>
  </si>
  <si>
    <t>行政總裁辦公室</t>
  </si>
  <si>
    <t>Group CEO's Office (Division)</t>
  </si>
  <si>
    <t>FD</t>
  </si>
  <si>
    <t>FA</t>
  </si>
  <si>
    <t>財務及會計部</t>
  </si>
  <si>
    <t>Finance &amp; Accounts Department</t>
  </si>
  <si>
    <t>FI</t>
  </si>
  <si>
    <t>FINANCE &amp; INVESTMENT</t>
  </si>
  <si>
    <t>GD</t>
  </si>
  <si>
    <t>貨倉部</t>
  </si>
  <si>
    <t>Godown Department</t>
  </si>
  <si>
    <t>IV</t>
  </si>
  <si>
    <t>INVESTMENT</t>
  </si>
  <si>
    <t>MI</t>
  </si>
  <si>
    <t>樓宇按揭及保險部</t>
  </si>
  <si>
    <t>Housing Mortgage and Insurance Department</t>
  </si>
  <si>
    <t>RE</t>
  </si>
  <si>
    <t>INTERNATIONAL REAL ESTATE</t>
  </si>
  <si>
    <t>SH</t>
  </si>
  <si>
    <t>[Treasury] Shipping</t>
  </si>
  <si>
    <t>TS</t>
  </si>
  <si>
    <t>資金部</t>
  </si>
  <si>
    <t>Treasury Department</t>
  </si>
  <si>
    <t>3_FD</t>
  </si>
  <si>
    <t>財務處</t>
  </si>
  <si>
    <t>Finance Division</t>
  </si>
  <si>
    <t>HP</t>
  </si>
  <si>
    <t>CN</t>
  </si>
  <si>
    <t>建築部</t>
  </si>
  <si>
    <t>Construction Department</t>
  </si>
  <si>
    <t>DS</t>
  </si>
  <si>
    <t>設計部</t>
  </si>
  <si>
    <t>Design</t>
  </si>
  <si>
    <t>HKP</t>
  </si>
  <si>
    <t>香港地產處</t>
  </si>
  <si>
    <t>HONG KONG PROPERTY</t>
  </si>
  <si>
    <t>BV</t>
  </si>
  <si>
    <t>業務價值推進部</t>
  </si>
  <si>
    <t>BUSINESS VALUE ADVANCEMENT</t>
  </si>
  <si>
    <t>ML</t>
  </si>
  <si>
    <t>南豐紗廠</t>
  </si>
  <si>
    <t>The Mills</t>
  </si>
  <si>
    <t>PD</t>
  </si>
  <si>
    <t>地產發展部</t>
  </si>
  <si>
    <t>Property Development Department</t>
  </si>
  <si>
    <t>PJ</t>
  </si>
  <si>
    <t>工程部</t>
  </si>
  <si>
    <t>Project Department</t>
  </si>
  <si>
    <t>PMT</t>
  </si>
  <si>
    <t>物業管理部</t>
  </si>
  <si>
    <t>Property Management Department</t>
  </si>
  <si>
    <t>SL</t>
  </si>
  <si>
    <t>資產管理部</t>
  </si>
  <si>
    <t>Asset Management Department</t>
  </si>
  <si>
    <t>SN</t>
  </si>
  <si>
    <t>建築地盤</t>
  </si>
  <si>
    <t>Site Construction</t>
  </si>
  <si>
    <t>SP</t>
  </si>
  <si>
    <t>銷售部</t>
  </si>
  <si>
    <t>Sales Department</t>
  </si>
  <si>
    <t>AX</t>
  </si>
  <si>
    <t>THE ANNEX</t>
  </si>
  <si>
    <t>MC</t>
  </si>
  <si>
    <t>Marketing and Communications</t>
  </si>
  <si>
    <t>GMDO</t>
  </si>
  <si>
    <t>集團董事總經理辦公室</t>
  </si>
  <si>
    <t>Hong Kong Property Group Managing Director's Office</t>
  </si>
  <si>
    <t>CCE</t>
  </si>
  <si>
    <t>CULTURAL &amp; COMMUNITY ENGAGEMENT</t>
  </si>
  <si>
    <t>BI</t>
  </si>
  <si>
    <t>SEWIT部</t>
  </si>
  <si>
    <t>SEWIT Department</t>
  </si>
  <si>
    <t>CRSA</t>
  </si>
  <si>
    <t>客戶關係及諮詢部</t>
  </si>
  <si>
    <t>Customer Relations &amp; Service Assurance Department</t>
  </si>
  <si>
    <t>6_HP</t>
  </si>
  <si>
    <t>香港地產</t>
  </si>
  <si>
    <t>Hong Kong Property</t>
  </si>
  <si>
    <t>64_MCR</t>
  </si>
  <si>
    <t>市務及傳訊 (住宅) 部</t>
  </si>
  <si>
    <t>Marketing and Communications (Residential) Department</t>
  </si>
  <si>
    <t>64_MCC</t>
  </si>
  <si>
    <t>市務及傳訊 (商業) 部</t>
  </si>
  <si>
    <t>Marketing and Communications (Commercial) Department</t>
  </si>
  <si>
    <t>PVTC</t>
  </si>
  <si>
    <t>Pivotal China</t>
  </si>
  <si>
    <t>9_LS</t>
  </si>
  <si>
    <t>生命科技</t>
  </si>
  <si>
    <t>Life Sciences</t>
  </si>
  <si>
    <t>ML6</t>
  </si>
  <si>
    <t>CHAT六廠</t>
  </si>
  <si>
    <t>CHAT</t>
  </si>
  <si>
    <t>CUR</t>
  </si>
  <si>
    <t>策展部</t>
  </si>
  <si>
    <t>CURATORIAL</t>
  </si>
  <si>
    <t>COM</t>
  </si>
  <si>
    <t>傳訊部</t>
  </si>
  <si>
    <t>COMMUNICATIONS</t>
  </si>
  <si>
    <t>F&amp;O</t>
  </si>
  <si>
    <t>財務及營運部</t>
  </si>
  <si>
    <t>FINANCE &amp; OPERATIONS</t>
  </si>
  <si>
    <t>7_ML6</t>
  </si>
  <si>
    <t>CHAT (Mill6)</t>
  </si>
  <si>
    <t>NTR</t>
  </si>
  <si>
    <t>Nan Fung Trinity</t>
  </si>
  <si>
    <t>8_NTR</t>
  </si>
  <si>
    <t>財務投資處</t>
  </si>
  <si>
    <t>Financial Investment Division</t>
  </si>
  <si>
    <t>OA Temp</t>
  </si>
  <si>
    <t>RMS Department</t>
  </si>
  <si>
    <t>[NFPGZ] Finance &amp; Accounting Department</t>
  </si>
  <si>
    <t>[NFPGZ] General Manager Office</t>
  </si>
  <si>
    <t>[NFPGZ] Human Resources &amp; Administration Department</t>
  </si>
  <si>
    <t>[NFPGZ] Information Technology Department</t>
  </si>
  <si>
    <t>[NFPGZ] Leasing Department-Mall</t>
  </si>
  <si>
    <t>[NFPGZ] Operations Department</t>
  </si>
  <si>
    <t>[NFPM] Asset Management</t>
  </si>
  <si>
    <t>[NFPM] Development Management</t>
  </si>
  <si>
    <t>[NFPM] Finance &amp; Accounting</t>
  </si>
  <si>
    <t>[NFPM] GM Office</t>
  </si>
  <si>
    <t>[NFPM] Human Resources &amp; Administration</t>
  </si>
  <si>
    <t>[NFPM] IT</t>
  </si>
  <si>
    <t>[NFPM] Legal &amp; Corp. Affairs</t>
  </si>
  <si>
    <t>[NFPM] Life Sciences Real Estate Services</t>
  </si>
  <si>
    <t>[NFPM] Mall Management</t>
  </si>
  <si>
    <t>[NFPS] Management Department</t>
  </si>
  <si>
    <t>[NFPS] Technical Department</t>
  </si>
  <si>
    <t>Endurance Land</t>
  </si>
  <si>
    <t>NFLSRE UK</t>
  </si>
  <si>
    <t>NFLSRE US</t>
  </si>
  <si>
    <t>Pivotal US</t>
  </si>
  <si>
    <t>Property Management</t>
  </si>
  <si>
    <t>The Mills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</si>
</sst>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G65" totalsRowShown="0">
  <autoFilter ref="A2:G65" xr:uid="{00000000-0009-0000-0100-000001000000}"/>
  <tableColumns count="7">
    <tableColumn id="1" xr3:uid="{00000000-0010-0000-0000-000001000000}" name="Division Code"/>
    <tableColumn id="2" xr3:uid="{00000000-0010-0000-0000-000002000000}" name="Department Code"/>
    <tableColumn id="3" xr3:uid="{00000000-0010-0000-0000-000003000000}" name="Department Name (Chi)"/>
    <tableColumn id="4" xr3:uid="{00000000-0010-0000-0000-000004000000}" name="Department Name (Eng)"/>
    <tableColumn id="5" xr3:uid="{00000000-0010-0000-0000-000005000000}" name="IsActive"/>
    <tableColumn id="6" xr3:uid="{00000000-0010-0000-0000-000006000000}" name="Invisible"/>
    <tableColumn id="7" xr3:uid="{B8377E68-C70A-4FFB-AC3C-289FC8F9DC8D}" name="MDM Depart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H20" sqref="H20"/>
    </sheetView>
  </sheetViews>
  <sheetFormatPr defaultRowHeight="12.75"/>
  <cols>
    <col min="1" max="1" width="15.28515625" style="1" customWidth="1"/>
    <col min="2" max="2" width="18.85546875" style="1" customWidth="1"/>
    <col min="3" max="3" width="40" style="1" customWidth="1"/>
    <col min="4" max="4" width="59.42578125" style="1" customWidth="1"/>
    <col min="5" max="5" width="9.7109375" style="1" customWidth="1"/>
    <col min="6" max="6" width="10" style="1" customWidth="1"/>
    <col min="7" max="7" width="55.42578125" style="1" customWidth="1"/>
    <col min="8" max="16384" width="9.1406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1" t="s">
        <v>12</v>
      </c>
    </row>
    <row r="3" spans="1:7">
      <c r="A3" s="1" t="s">
        <v>13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5"/>
    </row>
    <row r="4" spans="1:7">
      <c r="A4" s="1" t="s">
        <v>18</v>
      </c>
      <c r="B4" s="1" t="s">
        <v>18</v>
      </c>
      <c r="C4" s="1" t="s">
        <v>19</v>
      </c>
      <c r="D4" s="1" t="s">
        <v>20</v>
      </c>
      <c r="E4" s="1" t="s">
        <v>16</v>
      </c>
      <c r="F4" s="1" t="s">
        <v>17</v>
      </c>
      <c r="G4" s="4"/>
    </row>
    <row r="5" spans="1:7">
      <c r="A5" s="1" t="s">
        <v>18</v>
      </c>
      <c r="B5" s="1" t="s">
        <v>21</v>
      </c>
      <c r="C5" s="1" t="s">
        <v>19</v>
      </c>
      <c r="D5" s="1" t="s">
        <v>20</v>
      </c>
      <c r="E5" s="1" t="s">
        <v>16</v>
      </c>
      <c r="F5" s="1" t="s">
        <v>17</v>
      </c>
      <c r="G5" s="4"/>
    </row>
    <row r="6" spans="1:7">
      <c r="A6" s="1" t="s">
        <v>22</v>
      </c>
      <c r="B6" s="1" t="s">
        <v>23</v>
      </c>
      <c r="C6" s="1" t="s">
        <v>24</v>
      </c>
      <c r="D6" s="1" t="s">
        <v>25</v>
      </c>
      <c r="E6" s="1" t="s">
        <v>16</v>
      </c>
      <c r="F6" s="1" t="s">
        <v>17</v>
      </c>
      <c r="G6" s="4"/>
    </row>
    <row r="7" spans="1:7">
      <c r="A7" s="1" t="s">
        <v>22</v>
      </c>
      <c r="B7" s="1" t="s">
        <v>22</v>
      </c>
      <c r="C7" s="1" t="s">
        <v>24</v>
      </c>
      <c r="D7" s="1" t="s">
        <v>25</v>
      </c>
      <c r="E7" s="1" t="s">
        <v>16</v>
      </c>
      <c r="F7" s="1" t="s">
        <v>17</v>
      </c>
      <c r="G7" s="4"/>
    </row>
    <row r="8" spans="1:7">
      <c r="A8" s="1" t="s">
        <v>26</v>
      </c>
      <c r="B8" s="1" t="s">
        <v>27</v>
      </c>
      <c r="C8" s="1" t="s">
        <v>28</v>
      </c>
      <c r="D8" s="1" t="s">
        <v>29</v>
      </c>
      <c r="E8" s="1" t="s">
        <v>16</v>
      </c>
      <c r="F8" s="1" t="s">
        <v>17</v>
      </c>
      <c r="G8" s="1" t="s">
        <v>29</v>
      </c>
    </row>
    <row r="9" spans="1:7">
      <c r="A9" s="1" t="s">
        <v>26</v>
      </c>
      <c r="B9" s="1" t="s">
        <v>30</v>
      </c>
      <c r="C9" s="1" t="s">
        <v>31</v>
      </c>
      <c r="D9" s="1" t="s">
        <v>32</v>
      </c>
      <c r="E9" s="1" t="s">
        <v>16</v>
      </c>
      <c r="F9" s="1" t="s">
        <v>17</v>
      </c>
      <c r="G9" s="1" t="s">
        <v>32</v>
      </c>
    </row>
    <row r="10" spans="1:7">
      <c r="A10" s="1" t="s">
        <v>26</v>
      </c>
      <c r="B10" s="1" t="s">
        <v>33</v>
      </c>
      <c r="C10" s="1" t="s">
        <v>34</v>
      </c>
      <c r="D10" s="1" t="s">
        <v>35</v>
      </c>
      <c r="E10" s="1" t="s">
        <v>16</v>
      </c>
      <c r="F10" s="1" t="s">
        <v>17</v>
      </c>
      <c r="G10" s="1" t="s">
        <v>35</v>
      </c>
    </row>
    <row r="11" spans="1:7">
      <c r="A11" s="1" t="s">
        <v>26</v>
      </c>
      <c r="B11" s="1" t="s">
        <v>36</v>
      </c>
      <c r="C11" s="1" t="s">
        <v>37</v>
      </c>
      <c r="D11" s="1" t="s">
        <v>38</v>
      </c>
      <c r="E11" s="1" t="s">
        <v>16</v>
      </c>
      <c r="F11" s="1" t="s">
        <v>17</v>
      </c>
      <c r="G11" s="1" t="s">
        <v>38</v>
      </c>
    </row>
    <row r="12" spans="1:7">
      <c r="A12" s="1" t="s">
        <v>26</v>
      </c>
      <c r="B12" s="1" t="s">
        <v>39</v>
      </c>
      <c r="C12" s="1" t="s">
        <v>40</v>
      </c>
      <c r="D12" s="1" t="s">
        <v>41</v>
      </c>
      <c r="E12" s="1" t="s">
        <v>16</v>
      </c>
      <c r="F12" s="1" t="s">
        <v>17</v>
      </c>
      <c r="G12" s="1" t="s">
        <v>41</v>
      </c>
    </row>
    <row r="13" spans="1:7">
      <c r="A13" s="1" t="s">
        <v>26</v>
      </c>
      <c r="B13" s="1" t="s">
        <v>26</v>
      </c>
      <c r="C13" s="1" t="s">
        <v>42</v>
      </c>
      <c r="D13" s="1" t="s">
        <v>43</v>
      </c>
      <c r="E13" s="1" t="s">
        <v>16</v>
      </c>
      <c r="F13" s="1" t="s">
        <v>17</v>
      </c>
      <c r="G13" s="1" t="s">
        <v>43</v>
      </c>
    </row>
    <row r="14" spans="1:7">
      <c r="A14" s="1" t="s">
        <v>44</v>
      </c>
      <c r="B14" s="1" t="s">
        <v>45</v>
      </c>
      <c r="C14" s="1" t="s">
        <v>46</v>
      </c>
      <c r="D14" s="1" t="s">
        <v>47</v>
      </c>
      <c r="E14" s="1" t="s">
        <v>16</v>
      </c>
      <c r="F14" s="1" t="s">
        <v>17</v>
      </c>
      <c r="G14" s="4"/>
    </row>
    <row r="15" spans="1:7">
      <c r="A15" s="1" t="s">
        <v>44</v>
      </c>
      <c r="B15" s="1" t="s">
        <v>48</v>
      </c>
      <c r="C15" s="1" t="s">
        <v>49</v>
      </c>
      <c r="D15" s="1" t="s">
        <v>49</v>
      </c>
      <c r="E15" s="1" t="s">
        <v>16</v>
      </c>
      <c r="F15" s="1" t="s">
        <v>17</v>
      </c>
      <c r="G15" s="5"/>
    </row>
    <row r="16" spans="1:7">
      <c r="A16" s="1" t="s">
        <v>44</v>
      </c>
      <c r="B16" s="1" t="s">
        <v>50</v>
      </c>
      <c r="C16" s="1" t="s">
        <v>51</v>
      </c>
      <c r="D16" s="1" t="s">
        <v>47</v>
      </c>
      <c r="E16" s="1" t="s">
        <v>16</v>
      </c>
      <c r="F16" s="1" t="s">
        <v>17</v>
      </c>
      <c r="G16" s="4"/>
    </row>
    <row r="17" spans="1:7">
      <c r="A17" s="1" t="s">
        <v>44</v>
      </c>
      <c r="B17" s="1" t="s">
        <v>52</v>
      </c>
      <c r="C17" s="1" t="s">
        <v>53</v>
      </c>
      <c r="D17" s="1" t="s">
        <v>54</v>
      </c>
      <c r="E17" s="1" t="s">
        <v>16</v>
      </c>
      <c r="F17" s="1" t="s">
        <v>17</v>
      </c>
      <c r="G17" s="1" t="s">
        <v>54</v>
      </c>
    </row>
    <row r="18" spans="1:7">
      <c r="A18" s="1" t="s">
        <v>55</v>
      </c>
      <c r="B18" s="1" t="s">
        <v>56</v>
      </c>
      <c r="C18" s="1" t="s">
        <v>57</v>
      </c>
      <c r="D18" s="1" t="s">
        <v>58</v>
      </c>
      <c r="E18" s="1" t="s">
        <v>16</v>
      </c>
      <c r="F18" s="1" t="s">
        <v>17</v>
      </c>
      <c r="G18" s="1" t="s">
        <v>58</v>
      </c>
    </row>
    <row r="19" spans="1:7">
      <c r="A19" s="1" t="s">
        <v>55</v>
      </c>
      <c r="B19" s="1" t="s">
        <v>55</v>
      </c>
      <c r="C19" s="1" t="s">
        <v>59</v>
      </c>
      <c r="D19" s="1" t="s">
        <v>60</v>
      </c>
      <c r="E19" s="1" t="s">
        <v>16</v>
      </c>
      <c r="F19" s="1" t="s">
        <v>17</v>
      </c>
      <c r="G19" s="1" t="s">
        <v>60</v>
      </c>
    </row>
    <row r="20" spans="1:7">
      <c r="A20" s="1" t="s">
        <v>55</v>
      </c>
      <c r="B20" s="1" t="s">
        <v>61</v>
      </c>
      <c r="C20" s="1" t="s">
        <v>62</v>
      </c>
      <c r="D20" s="1" t="s">
        <v>63</v>
      </c>
      <c r="E20" s="1" t="s">
        <v>16</v>
      </c>
      <c r="F20" s="1" t="s">
        <v>17</v>
      </c>
      <c r="G20" s="1" t="s">
        <v>63</v>
      </c>
    </row>
    <row r="21" spans="1:7">
      <c r="A21" s="1" t="s">
        <v>55</v>
      </c>
      <c r="B21" s="1" t="s">
        <v>64</v>
      </c>
      <c r="C21" s="1" t="s">
        <v>65</v>
      </c>
      <c r="D21" s="1" t="s">
        <v>66</v>
      </c>
      <c r="E21" s="1" t="s">
        <v>16</v>
      </c>
      <c r="F21" s="1" t="s">
        <v>17</v>
      </c>
      <c r="G21" s="1" t="s">
        <v>66</v>
      </c>
    </row>
    <row r="22" spans="1:7">
      <c r="A22" s="1" t="s">
        <v>55</v>
      </c>
      <c r="B22" s="1" t="s">
        <v>67</v>
      </c>
      <c r="C22" s="1" t="s">
        <v>68</v>
      </c>
      <c r="D22" s="1" t="s">
        <v>69</v>
      </c>
      <c r="E22" s="1" t="s">
        <v>16</v>
      </c>
      <c r="F22" s="1" t="s">
        <v>17</v>
      </c>
      <c r="G22" s="1" t="s">
        <v>69</v>
      </c>
    </row>
    <row r="23" spans="1:7">
      <c r="A23" s="1" t="s">
        <v>55</v>
      </c>
      <c r="B23" s="1" t="s">
        <v>70</v>
      </c>
      <c r="C23" s="1" t="s">
        <v>71</v>
      </c>
      <c r="D23" s="1" t="s">
        <v>72</v>
      </c>
      <c r="E23" s="1" t="s">
        <v>16</v>
      </c>
      <c r="F23" s="1" t="s">
        <v>17</v>
      </c>
      <c r="G23" s="1" t="s">
        <v>72</v>
      </c>
    </row>
    <row r="24" spans="1:7">
      <c r="A24" s="1" t="s">
        <v>55</v>
      </c>
      <c r="B24" s="1" t="s">
        <v>73</v>
      </c>
      <c r="D24" s="1" t="s">
        <v>74</v>
      </c>
      <c r="E24" s="1" t="s">
        <v>17</v>
      </c>
      <c r="F24" s="1" t="s">
        <v>17</v>
      </c>
    </row>
    <row r="25" spans="1:7">
      <c r="A25" s="1" t="s">
        <v>55</v>
      </c>
      <c r="B25" s="1" t="s">
        <v>75</v>
      </c>
      <c r="C25" s="1" t="s">
        <v>76</v>
      </c>
      <c r="D25" s="1" t="s">
        <v>77</v>
      </c>
      <c r="E25" s="1" t="s">
        <v>16</v>
      </c>
      <c r="F25" s="1" t="s">
        <v>17</v>
      </c>
      <c r="G25" s="1" t="s">
        <v>77</v>
      </c>
    </row>
    <row r="26" spans="1:7">
      <c r="A26" s="1" t="s">
        <v>55</v>
      </c>
      <c r="B26" s="1" t="s">
        <v>78</v>
      </c>
      <c r="C26" s="1" t="s">
        <v>79</v>
      </c>
      <c r="D26" s="1" t="s">
        <v>80</v>
      </c>
      <c r="E26" s="1" t="s">
        <v>16</v>
      </c>
      <c r="F26" s="1" t="s">
        <v>17</v>
      </c>
      <c r="G26" s="5"/>
    </row>
    <row r="27" spans="1:7">
      <c r="A27" s="1" t="s">
        <v>81</v>
      </c>
      <c r="B27" s="1" t="s">
        <v>82</v>
      </c>
      <c r="C27" s="1" t="s">
        <v>83</v>
      </c>
      <c r="D27" s="1" t="s">
        <v>84</v>
      </c>
      <c r="E27" s="1" t="s">
        <v>16</v>
      </c>
      <c r="F27" s="1" t="s">
        <v>17</v>
      </c>
      <c r="G27" s="1" t="s">
        <v>84</v>
      </c>
    </row>
    <row r="28" spans="1:7">
      <c r="A28" s="1" t="s">
        <v>81</v>
      </c>
      <c r="B28" s="1" t="s">
        <v>85</v>
      </c>
      <c r="D28" s="1" t="s">
        <v>86</v>
      </c>
      <c r="E28" s="1" t="s">
        <v>17</v>
      </c>
      <c r="F28" s="1" t="s">
        <v>17</v>
      </c>
    </row>
    <row r="29" spans="1:7">
      <c r="A29" s="1" t="s">
        <v>81</v>
      </c>
      <c r="B29" s="1" t="s">
        <v>87</v>
      </c>
      <c r="C29" s="1" t="s">
        <v>88</v>
      </c>
      <c r="D29" s="1" t="s">
        <v>89</v>
      </c>
      <c r="E29" s="1" t="s">
        <v>16</v>
      </c>
      <c r="F29" s="1" t="s">
        <v>17</v>
      </c>
      <c r="G29" s="1" t="s">
        <v>89</v>
      </c>
    </row>
    <row r="30" spans="1:7">
      <c r="A30" s="1" t="s">
        <v>81</v>
      </c>
      <c r="B30" s="1" t="s">
        <v>90</v>
      </c>
      <c r="D30" s="1" t="s">
        <v>91</v>
      </c>
      <c r="E30" s="1" t="s">
        <v>17</v>
      </c>
      <c r="F30" s="1" t="s">
        <v>17</v>
      </c>
    </row>
    <row r="31" spans="1:7">
      <c r="A31" s="1" t="s">
        <v>81</v>
      </c>
      <c r="B31" s="1" t="s">
        <v>92</v>
      </c>
      <c r="C31" s="1" t="s">
        <v>93</v>
      </c>
      <c r="D31" s="1" t="s">
        <v>94</v>
      </c>
      <c r="E31" s="1" t="s">
        <v>17</v>
      </c>
      <c r="F31" s="1" t="s">
        <v>17</v>
      </c>
    </row>
    <row r="32" spans="1:7">
      <c r="A32" s="1" t="s">
        <v>81</v>
      </c>
      <c r="B32" s="1" t="s">
        <v>95</v>
      </c>
      <c r="C32" s="1" t="s">
        <v>24</v>
      </c>
      <c r="D32" s="1" t="s">
        <v>96</v>
      </c>
      <c r="E32" s="1" t="s">
        <v>16</v>
      </c>
      <c r="F32" s="1" t="s">
        <v>17</v>
      </c>
      <c r="G32" s="5"/>
    </row>
    <row r="33" spans="1:7">
      <c r="A33" s="1" t="s">
        <v>81</v>
      </c>
      <c r="B33" s="1" t="s">
        <v>97</v>
      </c>
      <c r="D33" s="1" t="s">
        <v>98</v>
      </c>
      <c r="E33" s="1" t="s">
        <v>17</v>
      </c>
      <c r="F33" s="1" t="s">
        <v>17</v>
      </c>
    </row>
    <row r="34" spans="1:7">
      <c r="A34" s="1" t="s">
        <v>81</v>
      </c>
      <c r="B34" s="1" t="s">
        <v>99</v>
      </c>
      <c r="C34" s="1" t="s">
        <v>100</v>
      </c>
      <c r="D34" s="1" t="s">
        <v>101</v>
      </c>
      <c r="E34" s="1" t="s">
        <v>16</v>
      </c>
      <c r="F34" s="1" t="s">
        <v>17</v>
      </c>
      <c r="G34" s="1" t="s">
        <v>101</v>
      </c>
    </row>
    <row r="35" spans="1:7">
      <c r="A35" s="1" t="s">
        <v>81</v>
      </c>
      <c r="B35" s="1" t="s">
        <v>102</v>
      </c>
      <c r="C35" s="1" t="s">
        <v>103</v>
      </c>
      <c r="D35" s="1" t="s">
        <v>104</v>
      </c>
      <c r="E35" s="1" t="s">
        <v>16</v>
      </c>
      <c r="F35" s="1" t="s">
        <v>17</v>
      </c>
      <c r="G35" s="5"/>
    </row>
    <row r="36" spans="1:7">
      <c r="A36" s="1" t="s">
        <v>105</v>
      </c>
      <c r="B36" s="1" t="s">
        <v>106</v>
      </c>
      <c r="C36" s="1" t="s">
        <v>107</v>
      </c>
      <c r="D36" s="1" t="s">
        <v>108</v>
      </c>
      <c r="E36" s="1" t="s">
        <v>16</v>
      </c>
      <c r="F36" s="1" t="s">
        <v>17</v>
      </c>
      <c r="G36" s="1" t="s">
        <v>108</v>
      </c>
    </row>
    <row r="37" spans="1:7">
      <c r="A37" s="1" t="s">
        <v>105</v>
      </c>
      <c r="B37" s="1" t="s">
        <v>109</v>
      </c>
      <c r="C37" s="1" t="s">
        <v>110</v>
      </c>
      <c r="D37" s="1" t="s">
        <v>111</v>
      </c>
      <c r="E37" s="1" t="s">
        <v>16</v>
      </c>
      <c r="F37" s="1" t="s">
        <v>17</v>
      </c>
      <c r="G37" s="5"/>
    </row>
    <row r="38" spans="1:7">
      <c r="A38" s="1" t="s">
        <v>105</v>
      </c>
      <c r="B38" s="1" t="s">
        <v>112</v>
      </c>
      <c r="C38" s="1" t="s">
        <v>113</v>
      </c>
      <c r="D38" s="1" t="s">
        <v>114</v>
      </c>
      <c r="E38" s="1" t="s">
        <v>17</v>
      </c>
      <c r="F38" s="1" t="s">
        <v>17</v>
      </c>
    </row>
    <row r="39" spans="1:7">
      <c r="A39" s="1" t="s">
        <v>105</v>
      </c>
      <c r="B39" s="1" t="s">
        <v>115</v>
      </c>
      <c r="C39" s="1" t="s">
        <v>116</v>
      </c>
      <c r="D39" s="1" t="s">
        <v>117</v>
      </c>
      <c r="E39" s="1" t="s">
        <v>17</v>
      </c>
      <c r="F39" s="1" t="s">
        <v>17</v>
      </c>
    </row>
    <row r="40" spans="1:7">
      <c r="A40" s="1" t="s">
        <v>105</v>
      </c>
      <c r="B40" s="1" t="s">
        <v>118</v>
      </c>
      <c r="C40" s="1" t="s">
        <v>119</v>
      </c>
      <c r="D40" s="1" t="s">
        <v>120</v>
      </c>
      <c r="E40" s="1" t="s">
        <v>16</v>
      </c>
      <c r="F40" s="1" t="s">
        <v>17</v>
      </c>
      <c r="G40" s="1" t="s">
        <v>120</v>
      </c>
    </row>
    <row r="41" spans="1:7">
      <c r="A41" s="1" t="s">
        <v>105</v>
      </c>
      <c r="B41" s="1" t="s">
        <v>121</v>
      </c>
      <c r="C41" s="1" t="s">
        <v>122</v>
      </c>
      <c r="D41" s="1" t="s">
        <v>123</v>
      </c>
      <c r="E41" s="1" t="s">
        <v>16</v>
      </c>
      <c r="F41" s="1" t="s">
        <v>17</v>
      </c>
      <c r="G41" s="1" t="s">
        <v>123</v>
      </c>
    </row>
    <row r="42" spans="1:7">
      <c r="A42" s="1" t="s">
        <v>105</v>
      </c>
      <c r="B42" s="1" t="s">
        <v>124</v>
      </c>
      <c r="C42" s="1" t="s">
        <v>125</v>
      </c>
      <c r="D42" s="1" t="s">
        <v>126</v>
      </c>
      <c r="E42" s="1" t="s">
        <v>16</v>
      </c>
      <c r="F42" s="1" t="s">
        <v>17</v>
      </c>
      <c r="G42" s="1" t="s">
        <v>126</v>
      </c>
    </row>
    <row r="43" spans="1:7">
      <c r="A43" s="1" t="s">
        <v>105</v>
      </c>
      <c r="B43" s="1" t="s">
        <v>127</v>
      </c>
      <c r="C43" s="1" t="s">
        <v>128</v>
      </c>
      <c r="D43" s="1" t="s">
        <v>129</v>
      </c>
      <c r="E43" s="1" t="s">
        <v>16</v>
      </c>
      <c r="F43" s="1" t="s">
        <v>17</v>
      </c>
      <c r="G43" s="1" t="s">
        <v>129</v>
      </c>
    </row>
    <row r="44" spans="1:7">
      <c r="A44" s="1" t="s">
        <v>105</v>
      </c>
      <c r="B44" s="1" t="s">
        <v>130</v>
      </c>
      <c r="C44" s="1" t="s">
        <v>131</v>
      </c>
      <c r="D44" s="1" t="s">
        <v>132</v>
      </c>
      <c r="E44" s="1" t="s">
        <v>16</v>
      </c>
      <c r="F44" s="1" t="s">
        <v>17</v>
      </c>
      <c r="G44" s="1" t="s">
        <v>132</v>
      </c>
    </row>
    <row r="45" spans="1:7">
      <c r="A45" s="1" t="s">
        <v>105</v>
      </c>
      <c r="B45" s="1" t="s">
        <v>133</v>
      </c>
      <c r="C45" s="1" t="s">
        <v>134</v>
      </c>
      <c r="D45" s="1" t="s">
        <v>135</v>
      </c>
      <c r="E45" s="1" t="s">
        <v>16</v>
      </c>
      <c r="F45" s="1" t="s">
        <v>17</v>
      </c>
      <c r="G45" s="1" t="s">
        <v>135</v>
      </c>
    </row>
    <row r="46" spans="1:7">
      <c r="A46" s="1" t="s">
        <v>105</v>
      </c>
      <c r="B46" s="1" t="s">
        <v>136</v>
      </c>
      <c r="C46" s="1" t="s">
        <v>137</v>
      </c>
      <c r="D46" s="1" t="s">
        <v>138</v>
      </c>
      <c r="E46" s="1" t="s">
        <v>16</v>
      </c>
      <c r="F46" s="1" t="s">
        <v>17</v>
      </c>
      <c r="G46" s="1" t="s">
        <v>138</v>
      </c>
    </row>
    <row r="47" spans="1:7">
      <c r="A47" s="1" t="s">
        <v>105</v>
      </c>
      <c r="B47" s="1" t="s">
        <v>139</v>
      </c>
      <c r="D47" s="1" t="s">
        <v>140</v>
      </c>
      <c r="E47" s="1" t="s">
        <v>17</v>
      </c>
      <c r="F47" s="1" t="s">
        <v>17</v>
      </c>
    </row>
    <row r="48" spans="1:7">
      <c r="A48" s="1" t="s">
        <v>105</v>
      </c>
      <c r="B48" s="1" t="s">
        <v>141</v>
      </c>
      <c r="C48" s="1" t="s">
        <v>142</v>
      </c>
      <c r="D48" s="1" t="s">
        <v>142</v>
      </c>
      <c r="E48" s="1" t="s">
        <v>16</v>
      </c>
      <c r="F48" s="1" t="s">
        <v>17</v>
      </c>
      <c r="G48" s="5"/>
    </row>
    <row r="49" spans="1:7">
      <c r="A49" s="1" t="s">
        <v>105</v>
      </c>
      <c r="B49" s="1" t="s">
        <v>143</v>
      </c>
      <c r="C49" s="1" t="s">
        <v>144</v>
      </c>
      <c r="D49" s="1" t="s">
        <v>145</v>
      </c>
      <c r="E49" s="1" t="s">
        <v>16</v>
      </c>
      <c r="F49" s="1" t="s">
        <v>17</v>
      </c>
      <c r="G49" s="1" t="s">
        <v>145</v>
      </c>
    </row>
    <row r="50" spans="1:7">
      <c r="A50" s="1" t="s">
        <v>105</v>
      </c>
      <c r="B50" s="1" t="s">
        <v>146</v>
      </c>
      <c r="C50" s="1" t="s">
        <v>147</v>
      </c>
      <c r="D50" s="1" t="s">
        <v>147</v>
      </c>
      <c r="E50" s="1" t="s">
        <v>17</v>
      </c>
      <c r="F50" s="1" t="s">
        <v>17</v>
      </c>
    </row>
    <row r="51" spans="1:7">
      <c r="A51" s="1" t="s">
        <v>105</v>
      </c>
      <c r="B51" s="1" t="s">
        <v>148</v>
      </c>
      <c r="C51" s="1" t="s">
        <v>149</v>
      </c>
      <c r="D51" s="1" t="s">
        <v>150</v>
      </c>
      <c r="E51" s="1" t="s">
        <v>16</v>
      </c>
      <c r="F51" s="1" t="s">
        <v>17</v>
      </c>
      <c r="G51" s="1" t="s">
        <v>150</v>
      </c>
    </row>
    <row r="52" spans="1:7">
      <c r="A52" s="1" t="s">
        <v>105</v>
      </c>
      <c r="B52" s="1" t="s">
        <v>151</v>
      </c>
      <c r="C52" s="1" t="s">
        <v>152</v>
      </c>
      <c r="D52" s="1" t="s">
        <v>153</v>
      </c>
      <c r="E52" s="1" t="s">
        <v>16</v>
      </c>
      <c r="F52" s="1" t="s">
        <v>17</v>
      </c>
      <c r="G52" s="1" t="s">
        <v>153</v>
      </c>
    </row>
    <row r="53" spans="1:7">
      <c r="A53" s="1" t="s">
        <v>105</v>
      </c>
      <c r="B53" s="1" t="s">
        <v>154</v>
      </c>
      <c r="C53" s="1" t="s">
        <v>155</v>
      </c>
      <c r="D53" s="1" t="s">
        <v>156</v>
      </c>
      <c r="E53" s="1" t="s">
        <v>16</v>
      </c>
      <c r="F53" s="1" t="s">
        <v>17</v>
      </c>
      <c r="G53" s="1" t="s">
        <v>156</v>
      </c>
    </row>
    <row r="54" spans="1:7">
      <c r="A54" s="1" t="s">
        <v>105</v>
      </c>
      <c r="B54" s="1" t="s">
        <v>157</v>
      </c>
      <c r="C54" s="1" t="s">
        <v>158</v>
      </c>
      <c r="D54" s="1" t="s">
        <v>159</v>
      </c>
      <c r="E54" s="1" t="s">
        <v>16</v>
      </c>
      <c r="F54" s="1" t="s">
        <v>17</v>
      </c>
      <c r="G54" s="1" t="s">
        <v>159</v>
      </c>
    </row>
    <row r="55" spans="1:7">
      <c r="A55" s="1" t="s">
        <v>105</v>
      </c>
      <c r="B55" s="1" t="s">
        <v>160</v>
      </c>
      <c r="C55" s="1" t="s">
        <v>161</v>
      </c>
      <c r="D55" s="1" t="s">
        <v>162</v>
      </c>
      <c r="E55" s="1" t="s">
        <v>16</v>
      </c>
      <c r="F55" s="1" t="s">
        <v>17</v>
      </c>
      <c r="G55" s="1" t="s">
        <v>162</v>
      </c>
    </row>
    <row r="56" spans="1:7">
      <c r="A56" s="1" t="s">
        <v>75</v>
      </c>
      <c r="B56" s="1" t="s">
        <v>163</v>
      </c>
      <c r="C56" s="1" t="s">
        <v>164</v>
      </c>
      <c r="D56" s="1" t="s">
        <v>164</v>
      </c>
      <c r="E56" s="1" t="s">
        <v>16</v>
      </c>
      <c r="F56" s="1" t="s">
        <v>17</v>
      </c>
      <c r="G56" s="5"/>
    </row>
    <row r="57" spans="1:7">
      <c r="A57" s="1" t="s">
        <v>75</v>
      </c>
      <c r="B57" s="1" t="s">
        <v>165</v>
      </c>
      <c r="C57" s="1" t="s">
        <v>166</v>
      </c>
      <c r="D57" s="1" t="s">
        <v>167</v>
      </c>
      <c r="E57" s="1" t="s">
        <v>16</v>
      </c>
      <c r="F57" s="1" t="s">
        <v>17</v>
      </c>
      <c r="G57" s="5"/>
    </row>
    <row r="58" spans="1:7">
      <c r="A58" s="1" t="s">
        <v>168</v>
      </c>
      <c r="B58" s="1" t="s">
        <v>168</v>
      </c>
      <c r="C58" s="1" t="s">
        <v>169</v>
      </c>
      <c r="D58" s="1" t="s">
        <v>170</v>
      </c>
      <c r="E58" s="1" t="s">
        <v>16</v>
      </c>
      <c r="F58" s="1" t="s">
        <v>17</v>
      </c>
      <c r="G58" s="4"/>
    </row>
    <row r="59" spans="1:7">
      <c r="A59" s="1" t="s">
        <v>168</v>
      </c>
      <c r="B59" s="1" t="s">
        <v>171</v>
      </c>
      <c r="C59" s="1" t="s">
        <v>172</v>
      </c>
      <c r="D59" s="1" t="s">
        <v>173</v>
      </c>
      <c r="E59" s="1" t="s">
        <v>17</v>
      </c>
      <c r="F59" s="1" t="s">
        <v>17</v>
      </c>
    </row>
    <row r="60" spans="1:7">
      <c r="A60" s="1" t="s">
        <v>168</v>
      </c>
      <c r="B60" s="1" t="s">
        <v>174</v>
      </c>
      <c r="C60" s="1" t="s">
        <v>175</v>
      </c>
      <c r="D60" s="1" t="s">
        <v>176</v>
      </c>
      <c r="E60" s="1" t="s">
        <v>17</v>
      </c>
      <c r="F60" s="1" t="s">
        <v>17</v>
      </c>
    </row>
    <row r="61" spans="1:7">
      <c r="A61" s="1" t="s">
        <v>168</v>
      </c>
      <c r="B61" s="1" t="s">
        <v>177</v>
      </c>
      <c r="C61" s="1" t="s">
        <v>178</v>
      </c>
      <c r="D61" s="1" t="s">
        <v>179</v>
      </c>
      <c r="E61" s="1" t="s">
        <v>17</v>
      </c>
      <c r="F61" s="1" t="s">
        <v>17</v>
      </c>
    </row>
    <row r="62" spans="1:7">
      <c r="A62" s="1" t="s">
        <v>168</v>
      </c>
      <c r="B62" s="1" t="s">
        <v>180</v>
      </c>
      <c r="C62" s="1" t="s">
        <v>169</v>
      </c>
      <c r="D62" s="1" t="s">
        <v>181</v>
      </c>
      <c r="E62" s="1" t="s">
        <v>16</v>
      </c>
      <c r="F62" s="1" t="s">
        <v>17</v>
      </c>
      <c r="G62" s="4"/>
    </row>
    <row r="63" spans="1:7">
      <c r="A63" s="1" t="s">
        <v>182</v>
      </c>
      <c r="B63" s="1" t="s">
        <v>182</v>
      </c>
      <c r="D63" s="1" t="s">
        <v>183</v>
      </c>
      <c r="E63" s="1" t="s">
        <v>16</v>
      </c>
      <c r="F63" s="1" t="s">
        <v>17</v>
      </c>
      <c r="G63" s="1" t="s">
        <v>183</v>
      </c>
    </row>
    <row r="64" spans="1:7">
      <c r="A64" s="1" t="s">
        <v>182</v>
      </c>
      <c r="B64" s="1" t="s">
        <v>184</v>
      </c>
      <c r="C64" s="1" t="s">
        <v>185</v>
      </c>
      <c r="D64" s="1" t="s">
        <v>186</v>
      </c>
      <c r="E64" s="1" t="s">
        <v>16</v>
      </c>
      <c r="F64" s="1" t="s">
        <v>17</v>
      </c>
      <c r="G64" s="5"/>
    </row>
    <row r="65" spans="1:7">
      <c r="A65" s="1" t="s">
        <v>187</v>
      </c>
      <c r="B65" s="1" t="s">
        <v>187</v>
      </c>
      <c r="C65" s="1" t="s">
        <v>187</v>
      </c>
      <c r="D65" s="1" t="s">
        <v>187</v>
      </c>
      <c r="E65" s="1" t="s">
        <v>16</v>
      </c>
      <c r="F65" s="1" t="s">
        <v>17</v>
      </c>
      <c r="G65" s="5"/>
    </row>
  </sheetData>
  <pageMargins left="0.75" right="0.75" top="0.75" bottom="0.5" header="0.5" footer="0.7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8E2E7A-D6FD-4825-BFD0-B95ACA05EED8}">
          <x14:formula1>
            <xm:f>Sheet1!$A:$A</xm:f>
          </x14:formula1>
          <xm:sqref>G3:G65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2BF0-60F1-46AF-B517-AF44FC17F4E6}">
  <dimension ref="A1:B61"/>
  <sheetViews>
    <sheetView topLeftCell="A6" workbookViewId="0">
      <selection activeCell="B46" sqref="B46"/>
    </sheetView>
  </sheetViews>
  <sheetFormatPr defaultRowHeight="15"/>
  <cols>
    <col min="1" max="1" width="59.85546875" customWidth="1"/>
    <col min="2" max="2" width="59.5703125" customWidth="1"/>
  </cols>
  <sheetData>
    <row r="1" spans="1:2">
      <c r="A1" s="3" t="s">
        <v>12</v>
      </c>
      <c r="B1" s="3" t="s">
        <v>188</v>
      </c>
    </row>
    <row r="2" spans="1:2">
      <c r="A2" t="s">
        <v>189</v>
      </c>
      <c r="B2" t="e" cm="1">
        <f t="array" ref="B2">INDEX(Table1[Department Name (Eng)],MATCH(Sheet1!A2,Table1[MDM Department],0),FALSE)</f>
        <v>#N/A</v>
      </c>
    </row>
    <row r="3" spans="1:2">
      <c r="A3" t="s">
        <v>190</v>
      </c>
      <c r="B3" t="e" cm="1">
        <f t="array" ref="B3">INDEX(Table1[Department Name (Eng)],MATCH(Sheet1!A3,Table1[MDM Department],0),FALSE)</f>
        <v>#N/A</v>
      </c>
    </row>
    <row r="4" spans="1:2">
      <c r="A4" t="s">
        <v>191</v>
      </c>
      <c r="B4" t="e" cm="1">
        <f t="array" ref="B4">INDEX(Table1[Department Name (Eng)],MATCH(Sheet1!A4,Table1[MDM Department],0),FALSE)</f>
        <v>#N/A</v>
      </c>
    </row>
    <row r="5" spans="1:2">
      <c r="A5" t="s">
        <v>192</v>
      </c>
      <c r="B5" t="e" cm="1">
        <f t="array" ref="B5">INDEX(Table1[Department Name (Eng)],MATCH(Sheet1!A5,Table1[MDM Department],0),FALSE)</f>
        <v>#N/A</v>
      </c>
    </row>
    <row r="6" spans="1:2">
      <c r="A6" t="s">
        <v>193</v>
      </c>
      <c r="B6" t="e" cm="1">
        <f t="array" ref="B6">INDEX(Table1[Department Name (Eng)],MATCH(Sheet1!A6,Table1[MDM Department],0),FALSE)</f>
        <v>#N/A</v>
      </c>
    </row>
    <row r="7" spans="1:2">
      <c r="A7" t="s">
        <v>194</v>
      </c>
      <c r="B7" t="e" cm="1">
        <f t="array" ref="B7">INDEX(Table1[Department Name (Eng)],MATCH(Sheet1!A7,Table1[MDM Department],0),FALSE)</f>
        <v>#N/A</v>
      </c>
    </row>
    <row r="8" spans="1:2">
      <c r="A8" t="s">
        <v>195</v>
      </c>
      <c r="B8" t="e" cm="1">
        <f t="array" ref="B8">INDEX(Table1[Department Name (Eng)],MATCH(Sheet1!A8,Table1[MDM Department],0),FALSE)</f>
        <v>#N/A</v>
      </c>
    </row>
    <row r="9" spans="1:2">
      <c r="A9" t="s">
        <v>196</v>
      </c>
      <c r="B9" t="e" cm="1">
        <f t="array" ref="B9">INDEX(Table1[Department Name (Eng)],MATCH(Sheet1!A9,Table1[MDM Department],0),FALSE)</f>
        <v>#N/A</v>
      </c>
    </row>
    <row r="10" spans="1:2">
      <c r="A10" t="s">
        <v>197</v>
      </c>
      <c r="B10" t="e" cm="1">
        <f t="array" ref="B10">INDEX(Table1[Department Name (Eng)],MATCH(Sheet1!A10,Table1[MDM Department],0),FALSE)</f>
        <v>#N/A</v>
      </c>
    </row>
    <row r="11" spans="1:2">
      <c r="A11" t="s">
        <v>198</v>
      </c>
      <c r="B11" t="e" cm="1">
        <f t="array" ref="B11">INDEX(Table1[Department Name (Eng)],MATCH(Sheet1!A11,Table1[MDM Department],0),FALSE)</f>
        <v>#N/A</v>
      </c>
    </row>
    <row r="12" spans="1:2">
      <c r="A12" t="s">
        <v>199</v>
      </c>
      <c r="B12" t="e" cm="1">
        <f t="array" ref="B12">INDEX(Table1[Department Name (Eng)],MATCH(Sheet1!A12,Table1[MDM Department],0),FALSE)</f>
        <v>#N/A</v>
      </c>
    </row>
    <row r="13" spans="1:2">
      <c r="A13" t="s">
        <v>200</v>
      </c>
      <c r="B13" t="e" cm="1">
        <f t="array" ref="B13">INDEX(Table1[Department Name (Eng)],MATCH(Sheet1!A13,Table1[MDM Department],0),FALSE)</f>
        <v>#N/A</v>
      </c>
    </row>
    <row r="14" spans="1:2">
      <c r="A14" t="s">
        <v>201</v>
      </c>
      <c r="B14" t="e" cm="1">
        <f t="array" ref="B14">INDEX(Table1[Department Name (Eng)],MATCH(Sheet1!A14,Table1[MDM Department],0),FALSE)</f>
        <v>#N/A</v>
      </c>
    </row>
    <row r="15" spans="1:2">
      <c r="A15" t="s">
        <v>202</v>
      </c>
      <c r="B15" t="e" cm="1">
        <f t="array" ref="B15">INDEX(Table1[Department Name (Eng)],MATCH(Sheet1!A15,Table1[MDM Department],0),FALSE)</f>
        <v>#N/A</v>
      </c>
    </row>
    <row r="16" spans="1:2">
      <c r="A16" t="s">
        <v>203</v>
      </c>
      <c r="B16" t="e" cm="1">
        <f t="array" ref="B16">INDEX(Table1[Department Name (Eng)],MATCH(Sheet1!A16,Table1[MDM Department],0),FALSE)</f>
        <v>#N/A</v>
      </c>
    </row>
    <row r="17" spans="1:2">
      <c r="A17" t="s">
        <v>204</v>
      </c>
      <c r="B17" t="e" cm="1">
        <f t="array" ref="B17">INDEX(Table1[Department Name (Eng)],MATCH(Sheet1!A17,Table1[MDM Department],0),FALSE)</f>
        <v>#N/A</v>
      </c>
    </row>
    <row r="18" spans="1:2">
      <c r="A18" t="s">
        <v>205</v>
      </c>
      <c r="B18" t="e" cm="1">
        <f t="array" ref="B18">INDEX(Table1[Department Name (Eng)],MATCH(Sheet1!A18,Table1[MDM Department],0),FALSE)</f>
        <v>#N/A</v>
      </c>
    </row>
    <row r="19" spans="1:2">
      <c r="A19" t="s">
        <v>43</v>
      </c>
      <c r="B19" t="str" cm="1">
        <f t="array" ref="B19">INDEX(Table1[Department Name (Eng)],MATCH(Sheet1!A19,Table1[MDM Department],0),FALSE)</f>
        <v>Administration Division</v>
      </c>
    </row>
    <row r="20" spans="1:2">
      <c r="A20" t="s">
        <v>20</v>
      </c>
      <c r="B20" t="e" cm="1">
        <f t="array" ref="B20">INDEX(Table1[Department Name (Eng)],MATCH(Sheet1!A20,Table1[MDM Department],0),FALSE)</f>
        <v>#N/A</v>
      </c>
    </row>
    <row r="21" spans="1:2">
      <c r="A21" t="s">
        <v>132</v>
      </c>
      <c r="B21" t="str" cm="1">
        <f t="array" ref="B21">INDEX(Table1[Department Name (Eng)],MATCH(Sheet1!A21,Table1[MDM Department],0),FALSE)</f>
        <v>Asset Management Department</v>
      </c>
    </row>
    <row r="22" spans="1:2">
      <c r="A22" t="s">
        <v>170</v>
      </c>
      <c r="B22" t="e" cm="1">
        <f t="array" ref="B22">INDEX(Table1[Department Name (Eng)],MATCH(Sheet1!A22,Table1[MDM Department],0),FALSE)</f>
        <v>#N/A</v>
      </c>
    </row>
    <row r="23" spans="1:2">
      <c r="A23" t="s">
        <v>47</v>
      </c>
      <c r="B23" t="e" cm="1">
        <f t="array" ref="B23">INDEX(Table1[Department Name (Eng)],MATCH(Sheet1!A23,Table1[MDM Department],0),FALSE)</f>
        <v>#N/A</v>
      </c>
    </row>
    <row r="24" spans="1:2">
      <c r="A24" t="s">
        <v>54</v>
      </c>
      <c r="B24" t="str" cm="1">
        <f t="array" ref="B24">INDEX(Table1[Department Name (Eng)],MATCH(Sheet1!A24,Table1[MDM Department],0),FALSE)</f>
        <v>China Property (Investment)</v>
      </c>
    </row>
    <row r="25" spans="1:2">
      <c r="A25" t="s">
        <v>29</v>
      </c>
      <c r="B25" t="str" cm="1">
        <f t="array" ref="B25">INDEX(Table1[Department Name (Eng)],MATCH(Sheet1!A25,Table1[MDM Department],0),FALSE)</f>
        <v>Company Secretarial Department</v>
      </c>
    </row>
    <row r="26" spans="1:2">
      <c r="A26" t="s">
        <v>108</v>
      </c>
      <c r="B26" t="str" cm="1">
        <f t="array" ref="B26">INDEX(Table1[Department Name (Eng)],MATCH(Sheet1!A26,Table1[MDM Department],0),FALSE)</f>
        <v>Construction Department</v>
      </c>
    </row>
    <row r="27" spans="1:2">
      <c r="A27" t="s">
        <v>63</v>
      </c>
      <c r="B27" t="str" cm="1">
        <f t="array" ref="B27">INDEX(Table1[Department Name (Eng)],MATCH(Sheet1!A27,Table1[MDM Department],0),FALSE)</f>
        <v>Consultant</v>
      </c>
    </row>
    <row r="28" spans="1:2">
      <c r="A28" t="s">
        <v>38</v>
      </c>
      <c r="B28" t="str" cm="1">
        <f t="array" ref="B28">INDEX(Table1[Department Name (Eng)],MATCH(Sheet1!A28,Table1[MDM Department],0),FALSE)</f>
        <v>Corporate Legal Counsel Dept (China, Overseas &amp; Investments)</v>
      </c>
    </row>
    <row r="29" spans="1:2">
      <c r="A29" t="s">
        <v>153</v>
      </c>
      <c r="B29" t="str" cm="1">
        <f t="array" ref="B29">INDEX(Table1[Department Name (Eng)],MATCH(Sheet1!A29,Table1[MDM Department],0),FALSE)</f>
        <v>Customer Relations &amp; Service Assurance Department</v>
      </c>
    </row>
    <row r="30" spans="1:2">
      <c r="A30" t="s">
        <v>206</v>
      </c>
      <c r="B30" t="e" cm="1">
        <f t="array" ref="B30">INDEX(Table1[Department Name (Eng)],MATCH(Sheet1!A30,Table1[MDM Department],0),FALSE)</f>
        <v>#N/A</v>
      </c>
    </row>
    <row r="31" spans="1:2">
      <c r="A31" t="s">
        <v>84</v>
      </c>
      <c r="B31" t="str" cm="1">
        <f t="array" ref="B31">INDEX(Table1[Department Name (Eng)],MATCH(Sheet1!A31,Table1[MDM Department],0),FALSE)</f>
        <v>Finance &amp; Accounts Department</v>
      </c>
    </row>
    <row r="32" spans="1:2">
      <c r="A32" t="s">
        <v>89</v>
      </c>
      <c r="B32" t="str" cm="1">
        <f t="array" ref="B32">INDEX(Table1[Department Name (Eng)],MATCH(Sheet1!A32,Table1[MDM Department],0),FALSE)</f>
        <v>Godown Department</v>
      </c>
    </row>
    <row r="33" spans="1:2">
      <c r="A33" t="s">
        <v>60</v>
      </c>
      <c r="B33" t="str" cm="1">
        <f t="array" ref="B33">INDEX(Table1[Department Name (Eng)],MATCH(Sheet1!A33,Table1[MDM Department],0),FALSE)</f>
        <v>Group CEO's Office</v>
      </c>
    </row>
    <row r="34" spans="1:2">
      <c r="A34" t="s">
        <v>58</v>
      </c>
      <c r="B34" t="str" cm="1">
        <f t="array" ref="B34">INDEX(Table1[Department Name (Eng)],MATCH(Sheet1!A34,Table1[MDM Department],0),FALSE)</f>
        <v>Group Internal Audit Department</v>
      </c>
    </row>
    <row r="35" spans="1:2">
      <c r="A35" t="s">
        <v>77</v>
      </c>
      <c r="B35" t="str" cm="1">
        <f t="array" ref="B35">INDEX(Table1[Department Name (Eng)],MATCH(Sheet1!A35,Table1[MDM Department],0),FALSE)</f>
        <v>Hong Kong Life Sciences Society</v>
      </c>
    </row>
    <row r="36" spans="1:2">
      <c r="A36" t="s">
        <v>156</v>
      </c>
      <c r="B36" t="str" cm="1">
        <f t="array" ref="B36">INDEX(Table1[Department Name (Eng)],MATCH(Sheet1!A36,Table1[MDM Department],0),FALSE)</f>
        <v>Hong Kong Property</v>
      </c>
    </row>
    <row r="37" spans="1:2">
      <c r="A37" t="s">
        <v>145</v>
      </c>
      <c r="B37" t="str" cm="1">
        <f t="array" ref="B37">INDEX(Table1[Department Name (Eng)],MATCH(Sheet1!A37,Table1[MDM Department],0),FALSE)</f>
        <v>Hong Kong Property Group Managing Director's Office</v>
      </c>
    </row>
    <row r="38" spans="1:2">
      <c r="A38" t="s">
        <v>66</v>
      </c>
      <c r="B38" t="str" cm="1">
        <f t="array" ref="B38">INDEX(Table1[Department Name (Eng)],MATCH(Sheet1!A38,Table1[MDM Department],0),FALSE)</f>
        <v>Honorary Chairman's Office</v>
      </c>
    </row>
    <row r="39" spans="1:2">
      <c r="A39" t="s">
        <v>69</v>
      </c>
      <c r="B39" t="str" cm="1">
        <f t="array" ref="B39">INDEX(Table1[Department Name (Eng)],MATCH(Sheet1!A39,Table1[MDM Department],0),FALSE)</f>
        <v>Human Resources Department</v>
      </c>
    </row>
    <row r="40" spans="1:2">
      <c r="A40" t="s">
        <v>32</v>
      </c>
      <c r="B40" t="str" cm="1">
        <f t="array" ref="B40">INDEX(Table1[Department Name (Eng)],MATCH(Sheet1!A40,Table1[MDM Department],0),FALSE)</f>
        <v>Information Technology Department</v>
      </c>
    </row>
    <row r="41" spans="1:2">
      <c r="A41" t="s">
        <v>25</v>
      </c>
      <c r="B41" t="e" cm="1">
        <f t="array" ref="B41">INDEX(Table1[Department Name (Eng)],MATCH(Sheet1!A41,Table1[MDM Department],0),FALSE)</f>
        <v>#N/A</v>
      </c>
    </row>
    <row r="42" spans="1:2">
      <c r="A42" t="s">
        <v>35</v>
      </c>
      <c r="B42" t="str" cm="1">
        <f t="array" ref="B42">INDEX(Table1[Department Name (Eng)],MATCH(Sheet1!A42,Table1[MDM Department],0),FALSE)</f>
        <v>Legal Department</v>
      </c>
    </row>
    <row r="43" spans="1:2">
      <c r="A43" t="s">
        <v>162</v>
      </c>
      <c r="B43" t="str" cm="1">
        <f t="array" ref="B43">INDEX(Table1[Department Name (Eng)],MATCH(Sheet1!A43,Table1[MDM Department],0),FALSE)</f>
        <v>Marketing and Communications (Commercial) Department</v>
      </c>
    </row>
    <row r="44" spans="1:2">
      <c r="A44" t="s">
        <v>159</v>
      </c>
      <c r="B44" t="str" cm="1">
        <f t="array" ref="B44">INDEX(Table1[Department Name (Eng)],MATCH(Sheet1!A44,Table1[MDM Department],0),FALSE)</f>
        <v>Marketing and Communications (Residential) Department</v>
      </c>
    </row>
    <row r="45" spans="1:2">
      <c r="A45" t="s">
        <v>183</v>
      </c>
      <c r="B45" t="str" cm="1">
        <f t="array" ref="B45">INDEX(Table1[Department Name (Eng)],MATCH(Sheet1!A45,Table1[MDM Department],0),FALSE)</f>
        <v>Nan Fung Trinity</v>
      </c>
    </row>
    <row r="46" spans="1:2">
      <c r="A46" t="s">
        <v>207</v>
      </c>
      <c r="B46" t="e" cm="1">
        <f t="array" ref="B46">INDEX(Table1[Department Name (Eng)],MATCH(Sheet1!A46,Table1[MDM Department],0),FALSE)</f>
        <v>#N/A</v>
      </c>
    </row>
    <row r="47" spans="1:2">
      <c r="A47" t="s">
        <v>208</v>
      </c>
      <c r="B47" t="e" cm="1">
        <f t="array" ref="B47">INDEX(Table1[Department Name (Eng)],MATCH(Sheet1!A47,Table1[MDM Department],0),FALSE)</f>
        <v>#N/A</v>
      </c>
    </row>
    <row r="48" spans="1:2">
      <c r="A48" t="s">
        <v>41</v>
      </c>
      <c r="B48" t="str" cm="1">
        <f t="array" ref="B48">INDEX(Table1[Department Name (Eng)],MATCH(Sheet1!A48,Table1[MDM Department],0),FALSE)</f>
        <v>Office Administration Department</v>
      </c>
    </row>
    <row r="49" spans="1:2">
      <c r="A49" t="s">
        <v>164</v>
      </c>
      <c r="B49" t="e" cm="1">
        <f t="array" ref="B49">INDEX(Table1[Department Name (Eng)],MATCH(Sheet1!A49,Table1[MDM Department],0),FALSE)</f>
        <v>#N/A</v>
      </c>
    </row>
    <row r="50" spans="1:2">
      <c r="A50" t="s">
        <v>209</v>
      </c>
      <c r="B50" t="e" cm="1">
        <f t="array" ref="B50">INDEX(Table1[Department Name (Eng)],MATCH(Sheet1!A50,Table1[MDM Department],0),FALSE)</f>
        <v>#N/A</v>
      </c>
    </row>
    <row r="51" spans="1:2">
      <c r="A51" t="s">
        <v>126</v>
      </c>
      <c r="B51" t="str" cm="1">
        <f t="array" ref="B51">INDEX(Table1[Department Name (Eng)],MATCH(Sheet1!A51,Table1[MDM Department],0),FALSE)</f>
        <v>Project Department</v>
      </c>
    </row>
    <row r="52" spans="1:2">
      <c r="A52" t="s">
        <v>123</v>
      </c>
      <c r="B52" t="str" cm="1">
        <f t="array" ref="B52">INDEX(Table1[Department Name (Eng)],MATCH(Sheet1!A52,Table1[MDM Department],0),FALSE)</f>
        <v>Property Development Department</v>
      </c>
    </row>
    <row r="53" spans="1:2">
      <c r="A53" t="s">
        <v>210</v>
      </c>
      <c r="B53" t="e" cm="1">
        <f t="array" ref="B53">INDEX(Table1[Department Name (Eng)],MATCH(Sheet1!A53,Table1[MDM Department],0),FALSE)</f>
        <v>#N/A</v>
      </c>
    </row>
    <row r="54" spans="1:2">
      <c r="A54" t="s">
        <v>129</v>
      </c>
      <c r="B54" t="str" cm="1">
        <f t="array" ref="B54">INDEX(Table1[Department Name (Eng)],MATCH(Sheet1!A54,Table1[MDM Department],0),FALSE)</f>
        <v>Property Management Department</v>
      </c>
    </row>
    <row r="55" spans="1:2">
      <c r="A55" t="s">
        <v>138</v>
      </c>
      <c r="B55" t="str" cm="1">
        <f t="array" ref="B55">INDEX(Table1[Department Name (Eng)],MATCH(Sheet1!A55,Table1[MDM Department],0),FALSE)</f>
        <v>Sales Department</v>
      </c>
    </row>
    <row r="56" spans="1:2">
      <c r="A56" t="s">
        <v>150</v>
      </c>
      <c r="B56" t="str" cm="1">
        <f t="array" ref="B56">INDEX(Table1[Department Name (Eng)],MATCH(Sheet1!A56,Table1[MDM Department],0),FALSE)</f>
        <v>SEWIT Department</v>
      </c>
    </row>
    <row r="57" spans="1:2">
      <c r="A57" t="s">
        <v>135</v>
      </c>
      <c r="B57" t="str" cm="1">
        <f t="array" ref="B57">INDEX(Table1[Department Name (Eng)],MATCH(Sheet1!A57,Table1[MDM Department],0),FALSE)</f>
        <v>Site Construction</v>
      </c>
    </row>
    <row r="58" spans="1:2">
      <c r="A58" t="s">
        <v>120</v>
      </c>
      <c r="B58" t="str" cm="1">
        <f t="array" ref="B58">INDEX(Table1[Department Name (Eng)],MATCH(Sheet1!A58,Table1[MDM Department],0),FALSE)</f>
        <v>The Mills</v>
      </c>
    </row>
    <row r="59" spans="1:2">
      <c r="A59" t="s">
        <v>211</v>
      </c>
      <c r="B59" t="e" cm="1">
        <f t="array" ref="B59">INDEX(Table1[Department Name (Eng)],MATCH(Sheet1!A59,Table1[MDM Department],0),FALSE)</f>
        <v>#N/A</v>
      </c>
    </row>
    <row r="60" spans="1:2">
      <c r="A60" t="s">
        <v>101</v>
      </c>
      <c r="B60" t="str" cm="1">
        <f t="array" ref="B60">INDEX(Table1[Department Name (Eng)],MATCH(Sheet1!A60,Table1[MDM Department],0),FALSE)</f>
        <v>Treasury Department</v>
      </c>
    </row>
    <row r="61" spans="1:2">
      <c r="A61" t="s">
        <v>72</v>
      </c>
      <c r="B61" t="str" cm="1">
        <f t="array" ref="B61">INDEX(Table1[Department Name (Eng)],MATCH(Sheet1!A61,Table1[MDM Department],0),FALSE)</f>
        <v>Vice Chairman &amp; Executive Director's Office</v>
      </c>
    </row>
  </sheetData>
  <autoFilter ref="A1:B62" xr:uid="{320B2BF0-60F1-46AF-B517-AF44FC17F4E6}">
    <sortState xmlns:xlrd2="http://schemas.microsoft.com/office/spreadsheetml/2017/richdata2" ref="A2:B62">
      <sortCondition ref="A1:A6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4DA338-3B9B-41D6-9FC1-0B0063F4E3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2026-10-07T06:37:29Z</dcterms:created>
  <dcterms:modified xsi:type="dcterms:W3CDTF">2026-10-07T07:26:38Z</dcterms:modified>
  <cp:category/>
  <cp:contentStatus/>
</cp:coreProperties>
</file>